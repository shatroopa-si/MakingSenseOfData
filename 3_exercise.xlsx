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troopa\Desktop\my_desk\prep\makingSenseOfData\"/>
    </mc:Choice>
  </mc:AlternateContent>
  <xr:revisionPtr revIDLastSave="0" documentId="13_ncr:1_{005D1A51-46BB-429C-9DD9-E7C803732B53}" xr6:coauthVersionLast="47" xr6:coauthVersionMax="47" xr10:uidLastSave="{00000000-0000-0000-0000-000000000000}"/>
  <bookViews>
    <workbookView xWindow="-108" yWindow="-108" windowWidth="23256" windowHeight="12456" xr2:uid="{7955FE5F-B6FC-4664-ABA6-37EA830FA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7" i="1" l="1"/>
  <c r="L53" i="1"/>
  <c r="L52" i="1"/>
  <c r="L46" i="1"/>
  <c r="L45" i="1"/>
  <c r="L44" i="1"/>
  <c r="L51" i="1"/>
  <c r="L43" i="1"/>
  <c r="L42" i="1"/>
  <c r="L50" i="1"/>
  <c r="L3" i="1"/>
  <c r="L4" i="1"/>
  <c r="L5" i="1"/>
  <c r="L6" i="1"/>
  <c r="L7" i="1"/>
  <c r="L8" i="1"/>
  <c r="L9" i="1"/>
  <c r="L10" i="1"/>
  <c r="L11" i="1"/>
  <c r="L2" i="1"/>
  <c r="F31" i="1"/>
  <c r="F32" i="1"/>
  <c r="F33" i="1"/>
  <c r="F34" i="1"/>
  <c r="F35" i="1"/>
  <c r="F36" i="1"/>
  <c r="F37" i="1"/>
  <c r="F38" i="1"/>
  <c r="F39" i="1"/>
  <c r="F30" i="1"/>
  <c r="H17" i="1"/>
  <c r="I17" i="1"/>
  <c r="J17" i="1"/>
  <c r="H16" i="1"/>
  <c r="I16" i="1"/>
  <c r="J16" i="1"/>
  <c r="G17" i="1"/>
  <c r="G16" i="1"/>
  <c r="F17" i="1"/>
  <c r="F16" i="1"/>
  <c r="F26" i="1" s="1"/>
  <c r="H21" i="1" l="1"/>
  <c r="F20" i="1"/>
  <c r="F28" i="1"/>
  <c r="I20" i="1"/>
  <c r="G20" i="1"/>
  <c r="F19" i="1"/>
  <c r="H22" i="1"/>
  <c r="J20" i="1"/>
  <c r="F21" i="1"/>
  <c r="H20" i="1"/>
  <c r="F27" i="1"/>
  <c r="H28" i="1"/>
  <c r="H26" i="1"/>
  <c r="H24" i="1"/>
  <c r="G22" i="1"/>
  <c r="J23" i="1"/>
  <c r="F22" i="1"/>
  <c r="I19" i="1"/>
  <c r="I27" i="1"/>
  <c r="I25" i="1"/>
  <c r="I23" i="1"/>
  <c r="I21" i="1"/>
  <c r="G24" i="1"/>
  <c r="J19" i="1"/>
  <c r="J25" i="1"/>
  <c r="F23" i="1"/>
  <c r="H19" i="1"/>
  <c r="H27" i="1"/>
  <c r="H25" i="1"/>
  <c r="H23" i="1"/>
  <c r="G26" i="1"/>
  <c r="F24" i="1"/>
  <c r="G19" i="1"/>
  <c r="G27" i="1"/>
  <c r="G25" i="1"/>
  <c r="G23" i="1"/>
  <c r="G21" i="1"/>
  <c r="G28" i="1"/>
  <c r="J27" i="1"/>
  <c r="J21" i="1"/>
  <c r="F25" i="1"/>
  <c r="J28" i="1"/>
  <c r="J26" i="1"/>
  <c r="J24" i="1"/>
  <c r="J22" i="1"/>
  <c r="I28" i="1"/>
  <c r="I26" i="1"/>
  <c r="I24" i="1"/>
  <c r="I22" i="1"/>
</calcChain>
</file>

<file path=xl/sharedStrings.xml><?xml version="1.0" encoding="utf-8"?>
<sst xmlns="http://schemas.openxmlformats.org/spreadsheetml/2006/main" count="133" uniqueCount="49">
  <si>
    <t>Name</t>
  </si>
  <si>
    <t>Age</t>
  </si>
  <si>
    <t>Gender</t>
  </si>
  <si>
    <t>Blood group</t>
  </si>
  <si>
    <t>Weight (kg)</t>
  </si>
  <si>
    <t>Height (m)</t>
  </si>
  <si>
    <t>Systolic blood pressure</t>
  </si>
  <si>
    <t>Diastolic blood pressure</t>
  </si>
  <si>
    <t>Temperature (F)</t>
  </si>
  <si>
    <t>Diabetes</t>
  </si>
  <si>
    <t>P. Lee</t>
  </si>
  <si>
    <t>Female</t>
  </si>
  <si>
    <t>A Rh+</t>
  </si>
  <si>
    <t>R. Jones</t>
  </si>
  <si>
    <t>Male</t>
  </si>
  <si>
    <t>O Rh-</t>
  </si>
  <si>
    <t>J. Smith</t>
  </si>
  <si>
    <t>O Rh+</t>
  </si>
  <si>
    <t>M. Owen</t>
  </si>
  <si>
    <t>A Rh-</t>
  </si>
  <si>
    <t>S. Green</t>
  </si>
  <si>
    <t>N. Cook</t>
  </si>
  <si>
    <t>W. Hands</t>
  </si>
  <si>
    <t>P. Rice</t>
  </si>
  <si>
    <t>F. Marsh</t>
  </si>
  <si>
    <t>A. Patel</t>
  </si>
  <si>
    <t>Discrete</t>
  </si>
  <si>
    <t>Values</t>
  </si>
  <si>
    <t>Continuous</t>
  </si>
  <si>
    <t>Dichotomous</t>
  </si>
  <si>
    <t>Binary</t>
  </si>
  <si>
    <t>Scale of measure</t>
  </si>
  <si>
    <t>Nominal</t>
  </si>
  <si>
    <t>Ratio</t>
  </si>
  <si>
    <t>Role</t>
  </si>
  <si>
    <t>Label</t>
  </si>
  <si>
    <t>Descriptor</t>
  </si>
  <si>
    <t>Response</t>
  </si>
  <si>
    <t>Normaized (min-max)</t>
  </si>
  <si>
    <t>Minimum</t>
  </si>
  <si>
    <t>Maximum</t>
  </si>
  <si>
    <t>Binning</t>
  </si>
  <si>
    <t>BMI</t>
  </si>
  <si>
    <t>Segmenting based on Gender</t>
  </si>
  <si>
    <r>
      <rPr>
        <strike/>
        <sz val="11"/>
        <color rgb="FFFF0000"/>
        <rFont val="Aptos Narrow"/>
        <family val="2"/>
        <scheme val="minor"/>
      </rPr>
      <t>Interval</t>
    </r>
    <r>
      <rPr>
        <sz val="11"/>
        <color rgb="FFFF0000"/>
        <rFont val="Aptos Narrow"/>
        <family val="2"/>
        <scheme val="minor"/>
      </rPr>
      <t xml:space="preserve"> Nominal</t>
    </r>
  </si>
  <si>
    <r>
      <rPr>
        <strike/>
        <sz val="11"/>
        <color rgb="FFFF0000"/>
        <rFont val="Aptos Narrow"/>
        <family val="2"/>
        <scheme val="minor"/>
      </rPr>
      <t>Interval</t>
    </r>
    <r>
      <rPr>
        <sz val="11"/>
        <color rgb="FFFF0000"/>
        <rFont val="Aptos Narrow"/>
        <family val="2"/>
        <scheme val="minor"/>
      </rPr>
      <t xml:space="preserve"> Ratio</t>
    </r>
  </si>
  <si>
    <r>
      <rPr>
        <strike/>
        <sz val="11"/>
        <color rgb="FFFF0000"/>
        <rFont val="Aptos Narrow"/>
        <family val="2"/>
        <scheme val="minor"/>
      </rPr>
      <t>Ordinal</t>
    </r>
    <r>
      <rPr>
        <sz val="11"/>
        <color rgb="FFFF0000"/>
        <rFont val="Aptos Narrow"/>
        <family val="2"/>
        <scheme val="minor"/>
      </rPr>
      <t xml:space="preserve"> Ratio</t>
    </r>
  </si>
  <si>
    <t>H14, I14, J14 should be Interval</t>
  </si>
  <si>
    <t>My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</si>
</sst>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i/>
      <sz val="11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7ED0-9DE2-494A-9456-BACDB7A0B85D}">
  <dimension ref="A1:P53"/>
  <sheetViews>
    <sheetView tabSelected="1" topLeftCell="A33" workbookViewId="0">
      <selection activeCell="M58" sqref="M58"/>
    </sheetView>
  </sheetViews>
  <sheetFormatPr defaultRowHeight="14.4" x14ac:dyDescent="0.3"/>
  <cols>
    <col min="1" max="1" width="14.88671875" style="2" bestFit="1" customWidth="1"/>
    <col min="2" max="2" width="14.109375" style="2" bestFit="1" customWidth="1"/>
    <col min="3" max="3" width="10.109375" style="2" bestFit="1" customWidth="1"/>
    <col min="4" max="4" width="11.6640625" style="2" bestFit="1" customWidth="1"/>
    <col min="5" max="5" width="10.44140625" style="2" bestFit="1" customWidth="1"/>
    <col min="6" max="6" width="12" style="2" bestFit="1" customWidth="1"/>
    <col min="7" max="7" width="10.109375" style="2" bestFit="1" customWidth="1"/>
    <col min="8" max="8" width="19.5546875" style="2" bestFit="1" customWidth="1"/>
    <col min="9" max="9" width="20.44140625" style="2" bestFit="1" customWidth="1"/>
    <col min="10" max="10" width="13.88671875" style="2" bestFit="1" customWidth="1"/>
    <col min="11" max="11" width="8.109375" style="2" bestFit="1" customWidth="1"/>
    <col min="12" max="13" width="8.88671875" style="2"/>
    <col min="14" max="14" width="27.33203125" style="4" bestFit="1" customWidth="1"/>
    <col min="15" max="16384" width="8.88671875" style="2"/>
  </cols>
  <sheetData>
    <row r="1" spans="1:16" x14ac:dyDescent="0.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42</v>
      </c>
      <c r="N1" s="3" t="s">
        <v>48</v>
      </c>
    </row>
    <row r="2" spans="1:16" x14ac:dyDescent="0.3">
      <c r="B2" s="5" t="s">
        <v>10</v>
      </c>
      <c r="C2" s="5">
        <v>35</v>
      </c>
      <c r="D2" s="5" t="s">
        <v>11</v>
      </c>
      <c r="E2" s="5" t="s">
        <v>12</v>
      </c>
      <c r="F2" s="5">
        <v>50</v>
      </c>
      <c r="G2" s="5">
        <v>1.52</v>
      </c>
      <c r="H2" s="5">
        <v>68</v>
      </c>
      <c r="I2" s="5">
        <v>112</v>
      </c>
      <c r="J2" s="5">
        <v>98.7</v>
      </c>
      <c r="K2" s="5">
        <v>0</v>
      </c>
      <c r="L2" s="2">
        <f>F2/(G2^2)</f>
        <v>21.641274238227147</v>
      </c>
    </row>
    <row r="3" spans="1:16" x14ac:dyDescent="0.3">
      <c r="B3" s="5" t="s">
        <v>13</v>
      </c>
      <c r="C3" s="5">
        <v>52</v>
      </c>
      <c r="D3" s="5" t="s">
        <v>14</v>
      </c>
      <c r="E3" s="5" t="s">
        <v>15</v>
      </c>
      <c r="F3" s="5">
        <v>115</v>
      </c>
      <c r="G3" s="5">
        <v>1.77</v>
      </c>
      <c r="H3" s="5">
        <v>110</v>
      </c>
      <c r="I3" s="5">
        <v>154</v>
      </c>
      <c r="J3" s="5">
        <v>99.5</v>
      </c>
      <c r="K3" s="5">
        <v>1</v>
      </c>
      <c r="L3" s="2">
        <f t="shared" ref="L3:L11" si="0">F3/(G3^2)</f>
        <v>36.707204187813204</v>
      </c>
    </row>
    <row r="4" spans="1:16" x14ac:dyDescent="0.3">
      <c r="B4" s="5" t="s">
        <v>16</v>
      </c>
      <c r="C4" s="5">
        <v>45</v>
      </c>
      <c r="D4" s="5" t="s">
        <v>14</v>
      </c>
      <c r="E4" s="5" t="s">
        <v>17</v>
      </c>
      <c r="F4" s="5">
        <v>96</v>
      </c>
      <c r="G4" s="5">
        <v>1.83</v>
      </c>
      <c r="H4" s="5">
        <v>88</v>
      </c>
      <c r="I4" s="5">
        <v>136</v>
      </c>
      <c r="J4" s="5">
        <v>98.8</v>
      </c>
      <c r="K4" s="5">
        <v>0</v>
      </c>
      <c r="L4" s="2">
        <f t="shared" si="0"/>
        <v>28.666129176744597</v>
      </c>
    </row>
    <row r="5" spans="1:16" x14ac:dyDescent="0.3">
      <c r="B5" s="5" t="s">
        <v>25</v>
      </c>
      <c r="C5" s="5">
        <v>70</v>
      </c>
      <c r="D5" s="5" t="s">
        <v>11</v>
      </c>
      <c r="E5" s="5" t="s">
        <v>15</v>
      </c>
      <c r="F5" s="5">
        <v>41</v>
      </c>
      <c r="G5" s="5">
        <v>1.55</v>
      </c>
      <c r="H5" s="5">
        <v>76</v>
      </c>
      <c r="I5" s="5">
        <v>125</v>
      </c>
      <c r="J5" s="5">
        <v>98.6</v>
      </c>
      <c r="K5" s="5">
        <v>0</v>
      </c>
      <c r="L5" s="2">
        <f t="shared" si="0"/>
        <v>17.065556711758582</v>
      </c>
    </row>
    <row r="6" spans="1:16" x14ac:dyDescent="0.3">
      <c r="B6" s="5" t="s">
        <v>18</v>
      </c>
      <c r="C6" s="5">
        <v>24</v>
      </c>
      <c r="D6" s="5" t="s">
        <v>14</v>
      </c>
      <c r="E6" s="5" t="s">
        <v>19</v>
      </c>
      <c r="F6" s="5">
        <v>79</v>
      </c>
      <c r="G6" s="5">
        <v>1.82</v>
      </c>
      <c r="H6" s="5">
        <v>65</v>
      </c>
      <c r="I6" s="5">
        <v>105</v>
      </c>
      <c r="J6" s="5">
        <v>98.7</v>
      </c>
      <c r="K6" s="5">
        <v>0</v>
      </c>
      <c r="L6" s="2">
        <f t="shared" si="0"/>
        <v>23.849776597029344</v>
      </c>
    </row>
    <row r="7" spans="1:16" x14ac:dyDescent="0.3">
      <c r="B7" s="5" t="s">
        <v>20</v>
      </c>
      <c r="C7" s="5">
        <v>43</v>
      </c>
      <c r="D7" s="5" t="s">
        <v>14</v>
      </c>
      <c r="E7" s="5" t="s">
        <v>15</v>
      </c>
      <c r="F7" s="5">
        <v>109</v>
      </c>
      <c r="G7" s="5">
        <v>1.89</v>
      </c>
      <c r="H7" s="5">
        <v>114</v>
      </c>
      <c r="I7" s="5">
        <v>159</v>
      </c>
      <c r="J7" s="5">
        <v>98.9</v>
      </c>
      <c r="K7" s="5">
        <v>1</v>
      </c>
      <c r="L7" s="2">
        <f t="shared" si="0"/>
        <v>30.514263318496123</v>
      </c>
    </row>
    <row r="8" spans="1:16" x14ac:dyDescent="0.3">
      <c r="B8" s="5" t="s">
        <v>21</v>
      </c>
      <c r="C8" s="5">
        <v>68</v>
      </c>
      <c r="D8" s="5" t="s">
        <v>14</v>
      </c>
      <c r="E8" s="5" t="s">
        <v>12</v>
      </c>
      <c r="F8" s="5">
        <v>73</v>
      </c>
      <c r="G8" s="5">
        <v>1.76</v>
      </c>
      <c r="H8" s="5">
        <v>108</v>
      </c>
      <c r="I8" s="5">
        <v>136</v>
      </c>
      <c r="J8" s="5">
        <v>99</v>
      </c>
      <c r="K8" s="5">
        <v>0</v>
      </c>
      <c r="L8" s="2">
        <f t="shared" si="0"/>
        <v>23.566632231404959</v>
      </c>
    </row>
    <row r="9" spans="1:16" x14ac:dyDescent="0.3">
      <c r="B9" s="5" t="s">
        <v>22</v>
      </c>
      <c r="C9" s="5">
        <v>77</v>
      </c>
      <c r="D9" s="5" t="s">
        <v>11</v>
      </c>
      <c r="E9" s="5" t="s">
        <v>15</v>
      </c>
      <c r="F9" s="5">
        <v>104</v>
      </c>
      <c r="G9" s="5">
        <v>1.71</v>
      </c>
      <c r="H9" s="5">
        <v>107</v>
      </c>
      <c r="I9" s="5">
        <v>145</v>
      </c>
      <c r="J9" s="5">
        <v>98.3</v>
      </c>
      <c r="K9" s="5">
        <v>1</v>
      </c>
      <c r="L9" s="2">
        <f t="shared" si="0"/>
        <v>35.566499093738251</v>
      </c>
    </row>
    <row r="10" spans="1:16" x14ac:dyDescent="0.3">
      <c r="B10" s="5" t="s">
        <v>23</v>
      </c>
      <c r="C10" s="5">
        <v>45</v>
      </c>
      <c r="D10" s="5" t="s">
        <v>11</v>
      </c>
      <c r="E10" s="5" t="s">
        <v>17</v>
      </c>
      <c r="F10" s="5">
        <v>64</v>
      </c>
      <c r="G10" s="5">
        <v>1.74</v>
      </c>
      <c r="H10" s="5">
        <v>101</v>
      </c>
      <c r="I10" s="5">
        <v>132</v>
      </c>
      <c r="J10" s="5">
        <v>98.6</v>
      </c>
      <c r="K10" s="5">
        <v>0</v>
      </c>
      <c r="L10" s="2">
        <f t="shared" si="0"/>
        <v>21.138855859426609</v>
      </c>
    </row>
    <row r="11" spans="1:16" x14ac:dyDescent="0.3">
      <c r="B11" s="5" t="s">
        <v>24</v>
      </c>
      <c r="C11" s="5">
        <v>28</v>
      </c>
      <c r="D11" s="5" t="s">
        <v>14</v>
      </c>
      <c r="E11" s="5" t="s">
        <v>17</v>
      </c>
      <c r="F11" s="5">
        <v>136</v>
      </c>
      <c r="G11" s="5">
        <v>1.78</v>
      </c>
      <c r="H11" s="5">
        <v>121</v>
      </c>
      <c r="I11" s="5">
        <v>165</v>
      </c>
      <c r="J11" s="5">
        <v>98.7</v>
      </c>
      <c r="K11" s="5">
        <v>1</v>
      </c>
      <c r="L11" s="2">
        <f t="shared" si="0"/>
        <v>42.923873248327233</v>
      </c>
    </row>
    <row r="12" spans="1:16" x14ac:dyDescent="0.3"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6" x14ac:dyDescent="0.3">
      <c r="A13" s="2" t="s">
        <v>27</v>
      </c>
      <c r="B13" s="5" t="s">
        <v>26</v>
      </c>
      <c r="C13" s="2" t="s">
        <v>28</v>
      </c>
      <c r="D13" s="5" t="s">
        <v>29</v>
      </c>
      <c r="E13" s="5" t="s">
        <v>26</v>
      </c>
      <c r="F13" s="5" t="s">
        <v>28</v>
      </c>
      <c r="G13" s="5" t="s">
        <v>28</v>
      </c>
      <c r="H13" s="5" t="s">
        <v>28</v>
      </c>
      <c r="I13" s="5" t="s">
        <v>28</v>
      </c>
      <c r="J13" s="5" t="s">
        <v>28</v>
      </c>
      <c r="K13" s="5" t="s">
        <v>30</v>
      </c>
    </row>
    <row r="14" spans="1:16" x14ac:dyDescent="0.3">
      <c r="A14" s="2" t="s">
        <v>31</v>
      </c>
      <c r="B14" s="6" t="s">
        <v>44</v>
      </c>
      <c r="C14" s="2" t="s">
        <v>33</v>
      </c>
      <c r="D14" s="5" t="s">
        <v>32</v>
      </c>
      <c r="E14" s="5" t="s">
        <v>32</v>
      </c>
      <c r="F14" s="5" t="s">
        <v>33</v>
      </c>
      <c r="G14" s="5" t="s">
        <v>33</v>
      </c>
      <c r="H14" s="6" t="s">
        <v>45</v>
      </c>
      <c r="I14" s="6" t="s">
        <v>45</v>
      </c>
      <c r="J14" s="6" t="s">
        <v>46</v>
      </c>
      <c r="K14" s="5" t="s">
        <v>32</v>
      </c>
      <c r="N14" s="3" t="s">
        <v>47</v>
      </c>
      <c r="O14" s="1"/>
      <c r="P14" s="1"/>
    </row>
    <row r="15" spans="1:16" x14ac:dyDescent="0.3">
      <c r="A15" s="2" t="s">
        <v>34</v>
      </c>
      <c r="B15" s="5" t="s">
        <v>35</v>
      </c>
      <c r="C15" s="2" t="s">
        <v>36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37</v>
      </c>
    </row>
    <row r="16" spans="1:16" x14ac:dyDescent="0.3">
      <c r="A16" s="2" t="s">
        <v>39</v>
      </c>
      <c r="F16" s="2">
        <f>MIN(F2:F11)</f>
        <v>41</v>
      </c>
      <c r="G16" s="2">
        <f>MIN(G2:G11)</f>
        <v>1.52</v>
      </c>
      <c r="H16" s="2">
        <f t="shared" ref="H16:J16" si="1">MIN(H2:H11)</f>
        <v>65</v>
      </c>
      <c r="I16" s="2">
        <f t="shared" si="1"/>
        <v>105</v>
      </c>
      <c r="J16" s="2">
        <f t="shared" si="1"/>
        <v>98.3</v>
      </c>
    </row>
    <row r="17" spans="1:10" x14ac:dyDescent="0.3">
      <c r="A17" s="2" t="s">
        <v>40</v>
      </c>
      <c r="F17" s="2">
        <f>MAX(F2:F11)</f>
        <v>136</v>
      </c>
      <c r="G17" s="2">
        <f>MAX(G2:G11)</f>
        <v>1.89</v>
      </c>
      <c r="H17" s="2">
        <f t="shared" ref="H17:J17" si="2">MAX(H2:H11)</f>
        <v>121</v>
      </c>
      <c r="I17" s="2">
        <f t="shared" si="2"/>
        <v>165</v>
      </c>
      <c r="J17" s="2">
        <f t="shared" si="2"/>
        <v>99.5</v>
      </c>
    </row>
    <row r="18" spans="1:10" x14ac:dyDescent="0.3">
      <c r="A18" s="2" t="s">
        <v>38</v>
      </c>
    </row>
    <row r="19" spans="1:10" x14ac:dyDescent="0.3">
      <c r="F19" s="2">
        <f>(F2-F16)/(F17-F16)</f>
        <v>9.4736842105263161E-2</v>
      </c>
      <c r="G19" s="2">
        <f t="shared" ref="G19:J19" si="3">(G2-G16)/(G17-G16)</f>
        <v>0</v>
      </c>
      <c r="H19" s="2">
        <f t="shared" si="3"/>
        <v>5.3571428571428568E-2</v>
      </c>
      <c r="I19" s="2">
        <f t="shared" si="3"/>
        <v>0.11666666666666667</v>
      </c>
      <c r="J19" s="2">
        <f t="shared" si="3"/>
        <v>0.33333333333333726</v>
      </c>
    </row>
    <row r="20" spans="1:10" x14ac:dyDescent="0.3">
      <c r="F20" s="2">
        <f>(F3-F16)/(F17-F16)</f>
        <v>0.77894736842105261</v>
      </c>
      <c r="G20" s="2">
        <f t="shared" ref="G20:J20" si="4">(G3-G16)/(G17-G16)</f>
        <v>0.67567567567567588</v>
      </c>
      <c r="H20" s="2">
        <f t="shared" si="4"/>
        <v>0.8035714285714286</v>
      </c>
      <c r="I20" s="2">
        <f t="shared" si="4"/>
        <v>0.81666666666666665</v>
      </c>
      <c r="J20" s="2">
        <f t="shared" si="4"/>
        <v>1</v>
      </c>
    </row>
    <row r="21" spans="1:10" x14ac:dyDescent="0.3">
      <c r="F21" s="2">
        <f>(F4-F16)/(F17-F16)</f>
        <v>0.57894736842105265</v>
      </c>
      <c r="G21" s="2">
        <f t="shared" ref="G21:J21" si="5">(G4-G16)/(G17-G16)</f>
        <v>0.83783783783783827</v>
      </c>
      <c r="H21" s="2">
        <f t="shared" si="5"/>
        <v>0.4107142857142857</v>
      </c>
      <c r="I21" s="2">
        <f t="shared" si="5"/>
        <v>0.51666666666666672</v>
      </c>
      <c r="J21" s="2">
        <f t="shared" si="5"/>
        <v>0.41666666666666569</v>
      </c>
    </row>
    <row r="22" spans="1:10" x14ac:dyDescent="0.3">
      <c r="F22" s="2">
        <f>(F5-F16)/(F17-F16)</f>
        <v>0</v>
      </c>
      <c r="G22" s="2">
        <f t="shared" ref="G22:J22" si="6">(G5-G16)/(G17-G16)</f>
        <v>8.1081081081081183E-2</v>
      </c>
      <c r="H22" s="2">
        <f t="shared" si="6"/>
        <v>0.19642857142857142</v>
      </c>
      <c r="I22" s="2">
        <f t="shared" si="6"/>
        <v>0.33333333333333331</v>
      </c>
      <c r="J22" s="2">
        <f t="shared" si="6"/>
        <v>0.24999999999999703</v>
      </c>
    </row>
    <row r="23" spans="1:10" x14ac:dyDescent="0.3">
      <c r="F23" s="2">
        <f>(F6-F16)/(F17-F16)</f>
        <v>0.4</v>
      </c>
      <c r="G23" s="2">
        <f t="shared" ref="G23:J23" si="7">(G6-G16)/(G17-G16)</f>
        <v>0.81081081081081119</v>
      </c>
      <c r="H23" s="2">
        <f t="shared" si="7"/>
        <v>0</v>
      </c>
      <c r="I23" s="2">
        <f t="shared" si="7"/>
        <v>0</v>
      </c>
      <c r="J23" s="2">
        <f t="shared" si="7"/>
        <v>0.33333333333333726</v>
      </c>
    </row>
    <row r="24" spans="1:10" x14ac:dyDescent="0.3">
      <c r="F24" s="2">
        <f>(F7-F16)/(F17-F16)</f>
        <v>0.71578947368421053</v>
      </c>
      <c r="G24" s="2">
        <f t="shared" ref="G24:J24" si="8">(G7-G16)/(G17-G16)</f>
        <v>1</v>
      </c>
      <c r="H24" s="2">
        <f t="shared" si="8"/>
        <v>0.875</v>
      </c>
      <c r="I24" s="2">
        <f t="shared" si="8"/>
        <v>0.9</v>
      </c>
      <c r="J24" s="2">
        <f t="shared" si="8"/>
        <v>0.50000000000000588</v>
      </c>
    </row>
    <row r="25" spans="1:10" x14ac:dyDescent="0.3">
      <c r="F25" s="2">
        <f>(F8-F16)/(F17-F16)</f>
        <v>0.33684210526315789</v>
      </c>
      <c r="G25" s="2">
        <f t="shared" ref="G25:J25" si="9">(G8-G16)/(G17-G16)</f>
        <v>0.6486486486486488</v>
      </c>
      <c r="H25" s="2">
        <f t="shared" si="9"/>
        <v>0.7678571428571429</v>
      </c>
      <c r="I25" s="2">
        <f t="shared" si="9"/>
        <v>0.51666666666666672</v>
      </c>
      <c r="J25" s="2">
        <f t="shared" si="9"/>
        <v>0.58333333333333437</v>
      </c>
    </row>
    <row r="26" spans="1:10" x14ac:dyDescent="0.3">
      <c r="F26" s="2">
        <f>(F9-F16)/(F17-F16)</f>
        <v>0.66315789473684206</v>
      </c>
      <c r="G26" s="2">
        <f t="shared" ref="G26:J26" si="10">(G9-G16)/(G17-G16)</f>
        <v>0.51351351351351349</v>
      </c>
      <c r="H26" s="2">
        <f t="shared" si="10"/>
        <v>0.75</v>
      </c>
      <c r="I26" s="2">
        <f t="shared" si="10"/>
        <v>0.66666666666666663</v>
      </c>
      <c r="J26" s="2">
        <f t="shared" si="10"/>
        <v>0</v>
      </c>
    </row>
    <row r="27" spans="1:10" x14ac:dyDescent="0.3">
      <c r="F27" s="2">
        <f>(F10-F16)/(F17-F16)</f>
        <v>0.24210526315789474</v>
      </c>
      <c r="G27" s="2">
        <f t="shared" ref="G27:J27" si="11">(G10-G16)/(G17-G16)</f>
        <v>0.59459459459459474</v>
      </c>
      <c r="H27" s="2">
        <f t="shared" si="11"/>
        <v>0.6428571428571429</v>
      </c>
      <c r="I27" s="2">
        <f t="shared" si="11"/>
        <v>0.45</v>
      </c>
      <c r="J27" s="2">
        <f t="shared" si="11"/>
        <v>0.24999999999999703</v>
      </c>
    </row>
    <row r="28" spans="1:10" x14ac:dyDescent="0.3">
      <c r="F28" s="2">
        <f>(F11-F16)/(F17-F16)</f>
        <v>1</v>
      </c>
      <c r="G28" s="2">
        <f t="shared" ref="G28:J28" si="12">(G11-G16)/(G17-G16)</f>
        <v>0.70270270270270296</v>
      </c>
      <c r="H28" s="2">
        <f t="shared" si="12"/>
        <v>1</v>
      </c>
      <c r="I28" s="2">
        <f t="shared" si="12"/>
        <v>1</v>
      </c>
      <c r="J28" s="2">
        <f t="shared" si="12"/>
        <v>0.33333333333333726</v>
      </c>
    </row>
    <row r="29" spans="1:10" x14ac:dyDescent="0.3">
      <c r="A29" s="2" t="s">
        <v>41</v>
      </c>
    </row>
    <row r="30" spans="1:10" x14ac:dyDescent="0.3">
      <c r="F30" s="2" t="str">
        <f>IF(F2&lt;60,"low",IF(F2&lt;100, "medium", "high"))</f>
        <v>low</v>
      </c>
    </row>
    <row r="31" spans="1:10" x14ac:dyDescent="0.3">
      <c r="F31" s="2" t="str">
        <f t="shared" ref="F31:F39" si="13">IF(F3&lt;60,"low",IF(F3&lt;100, "medium", "high"))</f>
        <v>high</v>
      </c>
    </row>
    <row r="32" spans="1:10" x14ac:dyDescent="0.3">
      <c r="F32" s="2" t="str">
        <f t="shared" si="13"/>
        <v>medium</v>
      </c>
    </row>
    <row r="33" spans="1:12" x14ac:dyDescent="0.3">
      <c r="F33" s="2" t="str">
        <f t="shared" si="13"/>
        <v>low</v>
      </c>
    </row>
    <row r="34" spans="1:12" x14ac:dyDescent="0.3">
      <c r="F34" s="2" t="str">
        <f t="shared" si="13"/>
        <v>medium</v>
      </c>
    </row>
    <row r="35" spans="1:12" x14ac:dyDescent="0.3">
      <c r="F35" s="2" t="str">
        <f t="shared" si="13"/>
        <v>high</v>
      </c>
    </row>
    <row r="36" spans="1:12" x14ac:dyDescent="0.3">
      <c r="F36" s="2" t="str">
        <f t="shared" si="13"/>
        <v>medium</v>
      </c>
    </row>
    <row r="37" spans="1:12" x14ac:dyDescent="0.3">
      <c r="F37" s="2" t="str">
        <f t="shared" si="13"/>
        <v>high</v>
      </c>
    </row>
    <row r="38" spans="1:12" x14ac:dyDescent="0.3">
      <c r="F38" s="2" t="str">
        <f t="shared" si="13"/>
        <v>medium</v>
      </c>
    </row>
    <row r="39" spans="1:12" x14ac:dyDescent="0.3">
      <c r="F39" s="2" t="str">
        <f t="shared" si="13"/>
        <v>high</v>
      </c>
    </row>
    <row r="40" spans="1:12" x14ac:dyDescent="0.3">
      <c r="A40" s="2" t="s">
        <v>43</v>
      </c>
    </row>
    <row r="41" spans="1:12" x14ac:dyDescent="0.3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  <c r="I41" s="5" t="s">
        <v>7</v>
      </c>
      <c r="J41" s="5" t="s">
        <v>8</v>
      </c>
      <c r="K41" s="5" t="s">
        <v>9</v>
      </c>
      <c r="L41" s="5" t="s">
        <v>42</v>
      </c>
    </row>
    <row r="42" spans="1:12" x14ac:dyDescent="0.3">
      <c r="B42" s="5" t="s">
        <v>13</v>
      </c>
      <c r="C42" s="5">
        <v>52</v>
      </c>
      <c r="D42" s="5" t="s">
        <v>14</v>
      </c>
      <c r="E42" s="5" t="s">
        <v>15</v>
      </c>
      <c r="F42" s="5">
        <v>115</v>
      </c>
      <c r="G42" s="5">
        <v>1.77</v>
      </c>
      <c r="H42" s="5">
        <v>110</v>
      </c>
      <c r="I42" s="5">
        <v>154</v>
      </c>
      <c r="J42" s="5">
        <v>99.5</v>
      </c>
      <c r="K42" s="5">
        <v>1</v>
      </c>
      <c r="L42" s="2">
        <f t="shared" ref="L42:L47" si="14">F42/(G42^2)</f>
        <v>36.707204187813204</v>
      </c>
    </row>
    <row r="43" spans="1:12" x14ac:dyDescent="0.3">
      <c r="B43" s="5" t="s">
        <v>16</v>
      </c>
      <c r="C43" s="5">
        <v>45</v>
      </c>
      <c r="D43" s="5" t="s">
        <v>14</v>
      </c>
      <c r="E43" s="5" t="s">
        <v>17</v>
      </c>
      <c r="F43" s="5">
        <v>96</v>
      </c>
      <c r="G43" s="5">
        <v>1.83</v>
      </c>
      <c r="H43" s="5">
        <v>88</v>
      </c>
      <c r="I43" s="5">
        <v>136</v>
      </c>
      <c r="J43" s="5">
        <v>98.8</v>
      </c>
      <c r="K43" s="5">
        <v>0</v>
      </c>
      <c r="L43" s="2">
        <f t="shared" si="14"/>
        <v>28.666129176744597</v>
      </c>
    </row>
    <row r="44" spans="1:12" x14ac:dyDescent="0.3">
      <c r="B44" s="5" t="s">
        <v>18</v>
      </c>
      <c r="C44" s="5">
        <v>24</v>
      </c>
      <c r="D44" s="5" t="s">
        <v>14</v>
      </c>
      <c r="E44" s="5" t="s">
        <v>19</v>
      </c>
      <c r="F44" s="5">
        <v>79</v>
      </c>
      <c r="G44" s="5">
        <v>1.82</v>
      </c>
      <c r="H44" s="5">
        <v>65</v>
      </c>
      <c r="I44" s="5">
        <v>105</v>
      </c>
      <c r="J44" s="5">
        <v>98.7</v>
      </c>
      <c r="K44" s="5">
        <v>0</v>
      </c>
      <c r="L44" s="2">
        <f t="shared" si="14"/>
        <v>23.849776597029344</v>
      </c>
    </row>
    <row r="45" spans="1:12" x14ac:dyDescent="0.3">
      <c r="B45" s="5" t="s">
        <v>20</v>
      </c>
      <c r="C45" s="5">
        <v>43</v>
      </c>
      <c r="D45" s="5" t="s">
        <v>14</v>
      </c>
      <c r="E45" s="5" t="s">
        <v>15</v>
      </c>
      <c r="F45" s="5">
        <v>109</v>
      </c>
      <c r="G45" s="5">
        <v>1.89</v>
      </c>
      <c r="H45" s="5">
        <v>114</v>
      </c>
      <c r="I45" s="5">
        <v>159</v>
      </c>
      <c r="J45" s="5">
        <v>98.9</v>
      </c>
      <c r="K45" s="5">
        <v>1</v>
      </c>
      <c r="L45" s="2">
        <f t="shared" si="14"/>
        <v>30.514263318496123</v>
      </c>
    </row>
    <row r="46" spans="1:12" x14ac:dyDescent="0.3">
      <c r="B46" s="5" t="s">
        <v>21</v>
      </c>
      <c r="C46" s="5">
        <v>68</v>
      </c>
      <c r="D46" s="5" t="s">
        <v>14</v>
      </c>
      <c r="E46" s="5" t="s">
        <v>12</v>
      </c>
      <c r="F46" s="5">
        <v>73</v>
      </c>
      <c r="G46" s="5">
        <v>1.76</v>
      </c>
      <c r="H46" s="5">
        <v>108</v>
      </c>
      <c r="I46" s="5">
        <v>136</v>
      </c>
      <c r="J46" s="5">
        <v>99</v>
      </c>
      <c r="K46" s="5">
        <v>0</v>
      </c>
      <c r="L46" s="2">
        <f t="shared" si="14"/>
        <v>23.566632231404959</v>
      </c>
    </row>
    <row r="47" spans="1:12" x14ac:dyDescent="0.3">
      <c r="B47" s="5" t="s">
        <v>24</v>
      </c>
      <c r="C47" s="5">
        <v>28</v>
      </c>
      <c r="D47" s="5" t="s">
        <v>14</v>
      </c>
      <c r="E47" s="5" t="s">
        <v>17</v>
      </c>
      <c r="F47" s="5">
        <v>136</v>
      </c>
      <c r="G47" s="5">
        <v>1.78</v>
      </c>
      <c r="H47" s="5">
        <v>121</v>
      </c>
      <c r="I47" s="5">
        <v>165</v>
      </c>
      <c r="J47" s="5">
        <v>98.7</v>
      </c>
      <c r="K47" s="5">
        <v>1</v>
      </c>
      <c r="L47" s="2">
        <f t="shared" si="14"/>
        <v>42.923873248327233</v>
      </c>
    </row>
    <row r="48" spans="1:12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2:12" x14ac:dyDescent="0.3">
      <c r="B49" s="5" t="s">
        <v>0</v>
      </c>
      <c r="C49" s="5" t="s">
        <v>1</v>
      </c>
      <c r="D49" s="5" t="s">
        <v>2</v>
      </c>
      <c r="E49" s="5" t="s">
        <v>3</v>
      </c>
      <c r="F49" s="5" t="s">
        <v>4</v>
      </c>
      <c r="G49" s="5" t="s">
        <v>5</v>
      </c>
      <c r="H49" s="5" t="s">
        <v>6</v>
      </c>
      <c r="I49" s="5" t="s">
        <v>7</v>
      </c>
      <c r="J49" s="5" t="s">
        <v>8</v>
      </c>
      <c r="K49" s="5" t="s">
        <v>9</v>
      </c>
      <c r="L49" s="5" t="s">
        <v>42</v>
      </c>
    </row>
    <row r="50" spans="2:12" x14ac:dyDescent="0.3">
      <c r="B50" s="5" t="s">
        <v>10</v>
      </c>
      <c r="C50" s="5">
        <v>35</v>
      </c>
      <c r="D50" s="5" t="s">
        <v>11</v>
      </c>
      <c r="E50" s="5" t="s">
        <v>12</v>
      </c>
      <c r="F50" s="5">
        <v>50</v>
      </c>
      <c r="G50" s="5">
        <v>1.52</v>
      </c>
      <c r="H50" s="5">
        <v>68</v>
      </c>
      <c r="I50" s="5">
        <v>112</v>
      </c>
      <c r="J50" s="5">
        <v>98.7</v>
      </c>
      <c r="K50" s="5">
        <v>0</v>
      </c>
      <c r="L50" s="2">
        <f>F50/(G50^2)</f>
        <v>21.641274238227147</v>
      </c>
    </row>
    <row r="51" spans="2:12" x14ac:dyDescent="0.3">
      <c r="B51" s="5" t="s">
        <v>25</v>
      </c>
      <c r="C51" s="5">
        <v>70</v>
      </c>
      <c r="D51" s="5" t="s">
        <v>11</v>
      </c>
      <c r="E51" s="5" t="s">
        <v>15</v>
      </c>
      <c r="F51" s="5">
        <v>41</v>
      </c>
      <c r="G51" s="5">
        <v>1.55</v>
      </c>
      <c r="H51" s="5">
        <v>76</v>
      </c>
      <c r="I51" s="5">
        <v>125</v>
      </c>
      <c r="J51" s="5">
        <v>98.6</v>
      </c>
      <c r="K51" s="5">
        <v>0</v>
      </c>
      <c r="L51" s="2">
        <f>F51/(G51^2)</f>
        <v>17.065556711758582</v>
      </c>
    </row>
    <row r="52" spans="2:12" x14ac:dyDescent="0.3">
      <c r="B52" s="5" t="s">
        <v>22</v>
      </c>
      <c r="C52" s="5">
        <v>77</v>
      </c>
      <c r="D52" s="5" t="s">
        <v>11</v>
      </c>
      <c r="E52" s="5" t="s">
        <v>15</v>
      </c>
      <c r="F52" s="5">
        <v>104</v>
      </c>
      <c r="G52" s="5">
        <v>1.71</v>
      </c>
      <c r="H52" s="5">
        <v>107</v>
      </c>
      <c r="I52" s="5">
        <v>145</v>
      </c>
      <c r="J52" s="5">
        <v>98.3</v>
      </c>
      <c r="K52" s="5">
        <v>1</v>
      </c>
      <c r="L52" s="2">
        <f>F52/(G52^2)</f>
        <v>35.566499093738251</v>
      </c>
    </row>
    <row r="53" spans="2:12" x14ac:dyDescent="0.3">
      <c r="B53" s="5" t="s">
        <v>23</v>
      </c>
      <c r="C53" s="5">
        <v>45</v>
      </c>
      <c r="D53" s="5" t="s">
        <v>11</v>
      </c>
      <c r="E53" s="5" t="s">
        <v>17</v>
      </c>
      <c r="F53" s="5">
        <v>64</v>
      </c>
      <c r="G53" s="5">
        <v>1.74</v>
      </c>
      <c r="H53" s="5">
        <v>101</v>
      </c>
      <c r="I53" s="5">
        <v>132</v>
      </c>
      <c r="J53" s="5">
        <v>98.6</v>
      </c>
      <c r="K53" s="5">
        <v>0</v>
      </c>
      <c r="L53" s="2">
        <f>F53/(G53^2)</f>
        <v>21.138855859426609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Shatroopa Saxena</dc:creator>
  <cp:lastModifiedBy>Shatroopa Saxena</cp:lastModifiedBy>
  <dcterms:created xsi:type="dcterms:W3CDTF">2026-05-13T06:14:29Z</dcterms:created>
  <dcterms:modified xsi:type="dcterms:W3CDTF">2026-05-13T06:55:09Z</dcterms:modified>
</cp:coreProperties>
</file>